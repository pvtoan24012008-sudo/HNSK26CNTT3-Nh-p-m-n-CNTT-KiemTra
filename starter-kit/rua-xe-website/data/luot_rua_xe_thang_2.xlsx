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7000"/>
  </bookViews>
  <sheets>
    <sheet name="LuotRua" sheetId="1" r:id="rId1"/>
    <sheet name="GoiRua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<sst xmlns="http://schemas.openxmlformats.org/spreadsheetml/2006/main" count="69" uniqueCount="51">
  <si>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ma_lr</t>
  </si>
  <si>
    <t>ngay_rua</t>
  </si>
  <si>
    <t>ma_rx</t>
  </si>
  <si>
    <t>so_xe</t>
  </si>
  <si>
    <t>ten_goi_rua</t>
  </si>
  <si>
    <t>gia_luot</t>
  </si>
  <si>
    <t>tien_rua</t>
  </si>
  <si>
    <t>LR001</t>
  </si>
  <si>
    <t>2026-02-01</t>
  </si>
  <si>
    <t>OT01</t>
  </si>
  <si>
    <t>LR002</t>
  </si>
  <si>
    <t>2026-02-02</t>
  </si>
  <si>
    <t>VS01</t>
  </si>
  <si>
    <t>LR003</t>
  </si>
  <si>
    <t>2026-02-03</t>
  </si>
  <si>
    <t>OT02</t>
  </si>
  <si>
    <t>LR004</t>
  </si>
  <si>
    <t>2026-02-04</t>
  </si>
  <si>
    <t>XM02</t>
  </si>
  <si>
    <t>LR005</t>
  </si>
  <si>
    <t>2026-02-05</t>
  </si>
  <si>
    <t>LR006</t>
  </si>
  <si>
    <t>2026-02-06</t>
  </si>
  <si>
    <t>DB01</t>
  </si>
  <si>
    <t>LR007</t>
  </si>
  <si>
    <t>2026-02-07</t>
  </si>
  <si>
    <t>XM01</t>
  </si>
  <si>
    <t>LR008</t>
  </si>
  <si>
    <t>2026-02-08</t>
  </si>
  <si>
    <t>LR009</t>
  </si>
  <si>
    <t>2026-02-09</t>
  </si>
  <si>
    <t>LR010</t>
  </si>
  <si>
    <t>2026-02-10</t>
  </si>
  <si>
    <t>HB01</t>
  </si>
  <si>
    <t>LR011</t>
  </si>
  <si>
    <t>2026-02-11</t>
  </si>
  <si>
    <t>LR012</t>
  </si>
  <si>
    <t>2026-02-12</t>
  </si>
  <si>
    <t>LR013</t>
  </si>
  <si>
    <t>2026-02-13</t>
  </si>
  <si>
    <t>LR014</t>
  </si>
  <si>
    <t>2026-02-14</t>
  </si>
  <si>
    <t>LR015</t>
  </si>
  <si>
    <t>2026-02-15</t>
  </si>
  <si>
    <t>Rua xe may thuong</t>
  </si>
  <si>
    <t>Rua xe may phu bong</t>
  </si>
  <si>
    <t>Rua o to 4 cho</t>
  </si>
  <si>
    <t>Rua o to 7 cho</t>
  </si>
  <si>
    <t>Ve sinh noi that o to</t>
  </si>
  <si>
    <t>Danh bong den xe</t>
  </si>
  <si>
    <t>Hut bui tham 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</si>
</sst>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3" sqref="E3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e">
        <f>VLOOKUP(A2,GoiRuaXe!$A$1:$C$8,2,0)</f>
        <v>#N/A</v>
      </c>
    </row>
    <row r="3" spans="1:7">
      <c r="A3" t="s">
        <v>10</v>
      </c>
      <c r="B3" t="s">
        <v>11</v>
      </c>
      <c r="C3" t="s">
        <v>12</v>
      </c>
      <c r="D3">
        <v>1</v>
      </c>
      <c r="E3" t="e">
        <f>VLOOKUP(A2,GoiRuaXe!$A$1:$C$8,2,0)</f>
        <v>#N/A</v>
      </c>
    </row>
    <row r="4" spans="1:7">
      <c r="A4" t="s">
        <v>13</v>
      </c>
      <c r="B4" t="s">
        <v>14</v>
      </c>
      <c r="C4" t="s">
        <v>15</v>
      </c>
      <c r="D4">
        <v>3</v>
      </c>
      <c r="E4" t="e">
        <f>VLOOKUP(A4,GoiRuaXe!$A$1:$C$8,2,FALSE)</f>
        <v>#N/A</v>
      </c>
    </row>
    <row r="5" spans="1:7">
      <c r="A5" t="s">
        <v>16</v>
      </c>
      <c r="B5" t="s">
        <v>17</v>
      </c>
      <c r="C5" t="s">
        <v>18</v>
      </c>
      <c r="D5">
        <v>3</v>
      </c>
      <c r="E5" t="e">
        <f>VLOOKUP(A5,GoiRuaXe!$A$1:$C$8,2,FALSE)</f>
        <v>#N/A</v>
      </c>
    </row>
    <row r="6" spans="1:7">
      <c r="A6" t="s">
        <v>19</v>
      </c>
      <c r="B6" t="s">
        <v>20</v>
      </c>
      <c r="C6" t="s">
        <v>9</v>
      </c>
      <c r="D6">
        <v>1</v>
      </c>
      <c r="E6" t="e">
        <f>VLOOKUP(A6,GoiRuaXe!$A$1:$C$8,2,FALSE)</f>
        <v>#N/A</v>
      </c>
    </row>
    <row r="7" spans="1:7">
      <c r="A7" t="s">
        <v>21</v>
      </c>
      <c r="B7" t="s">
        <v>22</v>
      </c>
      <c r="C7" t="s">
        <v>23</v>
      </c>
      <c r="D7">
        <v>2</v>
      </c>
      <c r="E7" t="e">
        <f>VLOOKUP(A7,GoiRuaXe!$A$1:$C$8,2,FALSE)</f>
        <v>#N/A</v>
      </c>
    </row>
    <row r="8" spans="1:7">
      <c r="A8" t="s">
        <v>24</v>
      </c>
      <c r="B8" t="s">
        <v>25</v>
      </c>
      <c r="C8" t="s">
        <v>26</v>
      </c>
      <c r="D8">
        <v>1</v>
      </c>
      <c r="E8" t="e">
        <f>VLOOKUP(A8,GoiRuaXe!$A$1:$C$8,2,FALSE)</f>
        <v>#N/A</v>
      </c>
    </row>
    <row r="9" spans="1:7">
      <c r="A9" t="s">
        <v>27</v>
      </c>
      <c r="B9" t="s">
        <v>28</v>
      </c>
      <c r="C9" t="s">
        <v>15</v>
      </c>
      <c r="D9">
        <v>4</v>
      </c>
      <c r="E9" t="e">
        <f>VLOOKUP(A9,GoiRuaXe!$A$1:$C$8,2,FALSE)</f>
        <v>#N/A</v>
      </c>
    </row>
    <row r="10" spans="1:7">
      <c r="A10" t="s">
        <v>29</v>
      </c>
      <c r="B10" t="s">
        <v>30</v>
      </c>
      <c r="C10" t="s">
        <v>18</v>
      </c>
      <c r="D10">
        <v>4</v>
      </c>
      <c r="E10" t="e">
        <f>VLOOKUP(A10,GoiRuaXe!$A$1:$C$8,2,FALSE)</f>
        <v>#N/A</v>
      </c>
    </row>
    <row r="11" spans="1:7">
      <c r="A11" t="s">
        <v>31</v>
      </c>
      <c r="B11" t="s">
        <v>32</v>
      </c>
      <c r="C11" t="s">
        <v>33</v>
      </c>
      <c r="D11">
        <v>5</v>
      </c>
      <c r="E11" t="e">
        <f>VLOOKUP(A11,GoiRuaXe!$A$1:$C$8,2,FALSE)</f>
        <v>#N/A</v>
      </c>
    </row>
    <row r="12" spans="1:7">
      <c r="A12" t="s">
        <v>34</v>
      </c>
      <c r="B12" t="s">
        <v>35</v>
      </c>
      <c r="C12" t="s">
        <v>15</v>
      </c>
      <c r="D12">
        <v>5</v>
      </c>
      <c r="E12" t="e">
        <f>VLOOKUP(A12,GoiRuaXe!$A$1:$C$8,2,FALSE)</f>
        <v>#N/A</v>
      </c>
    </row>
    <row r="13" spans="1:7">
      <c r="A13" t="s">
        <v>36</v>
      </c>
      <c r="B13" t="s">
        <v>37</v>
      </c>
      <c r="C13" t="s">
        <v>33</v>
      </c>
      <c r="D13">
        <v>1</v>
      </c>
      <c r="E13" t="e">
        <f>VLOOKUP(A13,GoiRuaXe!$A$1:$C$8,2,FALSE)</f>
        <v>#N/A</v>
      </c>
    </row>
    <row r="14" spans="1:7">
      <c r="A14" t="s">
        <v>38</v>
      </c>
      <c r="B14" t="s">
        <v>39</v>
      </c>
      <c r="C14" t="s">
        <v>18</v>
      </c>
      <c r="D14">
        <v>4</v>
      </c>
      <c r="E14" t="e">
        <f>VLOOKUP(A14,GoiRuaXe!$A$1:$C$8,2,FALSE)</f>
        <v>#N/A</v>
      </c>
    </row>
    <row r="15" spans="1:7">
      <c r="A15" t="s">
        <v>40</v>
      </c>
      <c r="B15" t="s">
        <v>41</v>
      </c>
      <c r="C15" t="s">
        <v>15</v>
      </c>
      <c r="D15">
        <v>1</v>
      </c>
      <c r="E15" t="e">
        <f>VLOOKUP(A15,GoiRuaXe!$A$1:$C$8,2,FALSE)</f>
        <v>#N/A</v>
      </c>
    </row>
    <row r="16" spans="1:7">
      <c r="A16" t="s">
        <v>42</v>
      </c>
      <c r="B16" t="s">
        <v>43</v>
      </c>
      <c r="C16" t="s">
        <v>9</v>
      </c>
      <c r="D16">
        <v>4</v>
      </c>
      <c r="E16" t="e">
        <f>VLOOKUP(A16,GoiRuaXe!$A$1:$C$8,2,FALSE)</f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26</v>
      </c>
      <c r="B2" t="s">
        <v>44</v>
      </c>
      <c r="C2">
        <v>30000</v>
      </c>
    </row>
    <row r="3" spans="1:3">
      <c r="A3" t="s">
        <v>18</v>
      </c>
      <c r="B3" t="s">
        <v>45</v>
      </c>
      <c r="C3">
        <v>50000</v>
      </c>
    </row>
    <row r="4" spans="1:3">
      <c r="A4" t="s">
        <v>9</v>
      </c>
      <c r="B4" t="s">
        <v>46</v>
      </c>
      <c r="C4">
        <v>120000</v>
      </c>
    </row>
    <row r="5" spans="1:3">
      <c r="A5" t="s">
        <v>15</v>
      </c>
      <c r="B5" t="s">
        <v>47</v>
      </c>
      <c r="C5">
        <v>150000</v>
      </c>
    </row>
    <row r="6" spans="1:3">
      <c r="A6" t="s">
        <v>12</v>
      </c>
      <c r="B6" t="s">
        <v>48</v>
      </c>
      <c r="C6">
        <v>400000</v>
      </c>
    </row>
    <row r="7" spans="1:3">
      <c r="A7" t="s">
        <v>23</v>
      </c>
      <c r="B7" t="s">
        <v>49</v>
      </c>
      <c r="C7">
        <v>200000</v>
      </c>
    </row>
    <row r="8" spans="1:3">
      <c r="A8" t="s">
        <v>33</v>
      </c>
      <c r="B8" t="s">
        <v>50</v>
      </c>
      <c r="C8">
        <v>60000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LuotRua</vt:lpstr>
      <vt:lpstr>GoiRuaXe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Phạm</cp:lastModifiedBy>
  <dcterms:created xsi:type="dcterms:W3CDTF">2026-10-27T01:32:00Z</dcterms:created>
  <dcterms:modified xsi:type="dcterms:W3CDTF">2026-10-28T04:57:39Z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AFA91A8EA203411CBA2453EF93ABE7B8_12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